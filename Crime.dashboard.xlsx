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E:\data .homework\"/>
    </mc:Choice>
  </mc:AlternateContent>
  <xr:revisionPtr revIDLastSave="0" documentId="13_ncr:1_{56AD04AB-5090-4D5F-ADB9-FE480557DB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3" sheetId="3" r:id="rId2"/>
    <sheet name="Sheet1" sheetId="1" r:id="rId3"/>
    <sheet name="Sheet4" sheetId="4" r:id="rId4"/>
  </sheets>
  <calcPr calcId="0"/>
  <pivotCaches>
    <pivotCache cacheId="9" r:id="rId5"/>
  </pivotCaches>
  <extLst>
    <ext uri="GoogleSheetsCustomDataVersion2">
      <go:sheetsCustomData xmlns:go="http://customooxmlschemas.google.com/" r:id="rId6" roundtripDataChecksum="R7bSb+WvaX8v1S7zl7fO5PIFu18jeicQe+o7lX5Kwno="/>
    </ext>
  </extLst>
</workbook>
</file>

<file path=xl/sharedStrings.xml><?xml version="1.0" encoding="utf-8"?>
<sst xmlns="http://schemas.openxmlformats.org/spreadsheetml/2006/main" count="79" uniqueCount="46">
  <si>
    <t>Unit Name</t>
  </si>
  <si>
    <t>Dacoity</t>
  </si>
  <si>
    <t>Robbery</t>
  </si>
  <si>
    <t>Murder</t>
  </si>
  <si>
    <t>Speedy Trial</t>
  </si>
  <si>
    <t>Riot</t>
  </si>
  <si>
    <t>Woman &amp; Child Repression</t>
  </si>
  <si>
    <t>Kidnapping</t>
  </si>
  <si>
    <t>Police Assault</t>
  </si>
  <si>
    <t>Burglary</t>
  </si>
  <si>
    <t>Theft</t>
  </si>
  <si>
    <t>Arms Act</t>
  </si>
  <si>
    <t>Explosive</t>
  </si>
  <si>
    <t>Narcotics</t>
  </si>
  <si>
    <t>Smuggling</t>
  </si>
  <si>
    <t>DMP</t>
  </si>
  <si>
    <t>CMP</t>
  </si>
  <si>
    <t>KMP</t>
  </si>
  <si>
    <t>RMP</t>
  </si>
  <si>
    <t>BMP</t>
  </si>
  <si>
    <t>SMP</t>
  </si>
  <si>
    <t>Dhaka Range</t>
  </si>
  <si>
    <t>Mymensingh Range</t>
  </si>
  <si>
    <t>Chittagong Range</t>
  </si>
  <si>
    <t>Sylhet Range</t>
  </si>
  <si>
    <t>Khulna Range</t>
  </si>
  <si>
    <t>Barisal Range</t>
  </si>
  <si>
    <t>Rajshahi Range</t>
  </si>
  <si>
    <t>Rangpur Range</t>
  </si>
  <si>
    <t>Railway Range</t>
  </si>
  <si>
    <t>GMP</t>
  </si>
  <si>
    <t>RPMP</t>
  </si>
  <si>
    <t>ATU</t>
  </si>
  <si>
    <t>Row Labels</t>
  </si>
  <si>
    <t>Grand Total</t>
  </si>
  <si>
    <t>Sum of Dacoity</t>
  </si>
  <si>
    <t>Sum of Robbery</t>
  </si>
  <si>
    <t>Sum of Murder</t>
  </si>
  <si>
    <t>Sum of Speedy Trial</t>
  </si>
  <si>
    <t>Sum of Kidnapping</t>
  </si>
  <si>
    <t>Sum of Riot</t>
  </si>
  <si>
    <t>Sum of Burglary</t>
  </si>
  <si>
    <t>Sum of Theft</t>
  </si>
  <si>
    <t>Sum of Smuggling</t>
  </si>
  <si>
    <t>Sum of Arms Act</t>
  </si>
  <si>
    <t>Crime Rate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</si>
</sst>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Font="1" applyBorder="1" applyAlignment="1"/>
    <xf numFmtId="0" fontId="0" fillId="0" borderId="13" xfId="0" pivotButton="1" applyFont="1" applyBorder="1" applyAlignment="1"/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6" xfId="0" applyFont="1" applyBorder="1" applyAlignment="1"/>
    <xf numFmtId="0" fontId="0" fillId="0" borderId="13" xfId="0" applyNumberFormat="1" applyFont="1" applyBorder="1" applyAlignment="1"/>
    <xf numFmtId="0" fontId="0" fillId="0" borderId="16" xfId="0" applyNumberFormat="1" applyFont="1" applyBorder="1" applyAlignment="1"/>
    <xf numFmtId="0" fontId="0" fillId="0" borderId="14" xfId="0" applyNumberFormat="1" applyFont="1" applyBorder="1" applyAlignment="1"/>
    <xf numFmtId="0" fontId="0" fillId="0" borderId="17" xfId="0" applyNumberFormat="1" applyFont="1" applyBorder="1" applyAlignment="1"/>
    <xf numFmtId="0" fontId="0" fillId="0" borderId="15" xfId="0" applyNumberFormat="1" applyFont="1" applyBorder="1" applyAlignment="1"/>
    <xf numFmtId="0" fontId="0" fillId="0" borderId="18" xfId="0" applyNumberFormat="1" applyFont="1" applyBorder="1" applyAlignment="1"/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[Crime.dashboard.xlsx]Sheet2!PivotTable3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DACOITY VS  ROBBERY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904551559951659E-2"/>
          <c:y val="0.20605421739155652"/>
          <c:w val="0.69293057884748077"/>
          <c:h val="0.507955132034544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Dacoity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Sylhet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</c:v>
                </c:pt>
                <c:pt idx="1">
                  <c:v>21</c:v>
                </c:pt>
                <c:pt idx="2">
                  <c:v>26</c:v>
                </c:pt>
                <c:pt idx="3">
                  <c:v>71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7-4B3B-ABE9-F260F0662EE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Robbery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Sylhet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18</c:v>
                </c:pt>
                <c:pt idx="1">
                  <c:v>53</c:v>
                </c:pt>
                <c:pt idx="2">
                  <c:v>54</c:v>
                </c:pt>
                <c:pt idx="3">
                  <c:v>96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7-4B3B-ABE9-F260F0662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785432"/>
        <c:axId val="572790472"/>
        <c:axId val="0"/>
      </c:bar3DChart>
      <c:catAx>
        <c:axId val="57278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0472"/>
        <c:crosses val="autoZero"/>
        <c:auto val="1"/>
        <c:lblAlgn val="ctr"/>
        <c:lblOffset val="100"/>
        <c:noMultiLvlLbl val="0"/>
      </c:catAx>
      <c:valAx>
        <c:axId val="57279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8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MURDER VS KIDNAPPING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692038495188105E-2"/>
          <c:y val="0.23919065712352286"/>
          <c:w val="0.52847953376345103"/>
          <c:h val="0.3550366370919155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Sum of Murder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Sheet2!$F$4:$F$9</c:f>
              <c:strCache>
                <c:ptCount val="5"/>
                <c:pt idx="0">
                  <c:v>Rangpur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Sheet2!$G$4:$G$9</c:f>
              <c:numCache>
                <c:formatCode>General</c:formatCode>
                <c:ptCount val="5"/>
                <c:pt idx="0">
                  <c:v>307</c:v>
                </c:pt>
                <c:pt idx="1">
                  <c:v>408</c:v>
                </c:pt>
                <c:pt idx="2">
                  <c:v>392</c:v>
                </c:pt>
                <c:pt idx="3">
                  <c:v>854</c:v>
                </c:pt>
                <c:pt idx="4">
                  <c:v>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1-4719-9862-2BAC52DF919C}"/>
            </c:ext>
          </c:extLst>
        </c:ser>
        <c:ser>
          <c:idx val="1"/>
          <c:order val="1"/>
          <c:tx>
            <c:strRef>
              <c:f>Sheet2!$H$3</c:f>
              <c:strCache>
                <c:ptCount val="1"/>
                <c:pt idx="0">
                  <c:v>Sum of Kidnapping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Sheet2!$F$4:$F$9</c:f>
              <c:strCache>
                <c:ptCount val="5"/>
                <c:pt idx="0">
                  <c:v>Rangpur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Sheet2!$H$4:$H$9</c:f>
              <c:numCache>
                <c:formatCode>General</c:formatCode>
                <c:ptCount val="5"/>
                <c:pt idx="0">
                  <c:v>16</c:v>
                </c:pt>
                <c:pt idx="1">
                  <c:v>46</c:v>
                </c:pt>
                <c:pt idx="2">
                  <c:v>29</c:v>
                </c:pt>
                <c:pt idx="3">
                  <c:v>82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1-4719-9862-2BAC52DF91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5671056"/>
        <c:axId val="925673936"/>
        <c:axId val="671706928"/>
      </c:bar3DChart>
      <c:catAx>
        <c:axId val="9256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3936"/>
        <c:crosses val="autoZero"/>
        <c:auto val="1"/>
        <c:lblAlgn val="ctr"/>
        <c:lblOffset val="100"/>
        <c:noMultiLvlLbl val="0"/>
      </c:catAx>
      <c:valAx>
        <c:axId val="9256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1056"/>
        <c:crosses val="autoZero"/>
        <c:crossBetween val="between"/>
      </c:valAx>
      <c:serAx>
        <c:axId val="67170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39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</a:t>
            </a:r>
            <a:r>
              <a:rPr lang="en-US" baseline="0"/>
              <a:t> WISE</a:t>
            </a:r>
            <a:r>
              <a:rPr lang="en-US"/>
              <a:t> SPEEDY TRIAL VS RIOT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56802274715662"/>
          <c:y val="0.11574074074074074"/>
          <c:w val="0.4872390638670166"/>
          <c:h val="0.7768598716827063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Sum of Speedy Trial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Sheet2!$J$4:$J$9</c:f>
              <c:strCache>
                <c:ptCount val="5"/>
                <c:pt idx="0">
                  <c:v>DMP</c:v>
                </c:pt>
                <c:pt idx="1">
                  <c:v>Rajshahi Range</c:v>
                </c:pt>
                <c:pt idx="2">
                  <c:v>Chittagong Range</c:v>
                </c:pt>
                <c:pt idx="3">
                  <c:v>Dhaka Range</c:v>
                </c:pt>
                <c:pt idx="4">
                  <c:v>CMP</c:v>
                </c:pt>
              </c:strCache>
            </c:strRef>
          </c:cat>
          <c:val>
            <c:numRef>
              <c:f>Sheet2!$K$4:$K$9</c:f>
              <c:numCache>
                <c:formatCode>General</c:formatCode>
                <c:ptCount val="5"/>
                <c:pt idx="0">
                  <c:v>216</c:v>
                </c:pt>
                <c:pt idx="1">
                  <c:v>126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4-4EA2-B72D-EB769B112D18}"/>
            </c:ext>
          </c:extLst>
        </c:ser>
        <c:ser>
          <c:idx val="1"/>
          <c:order val="1"/>
          <c:tx>
            <c:strRef>
              <c:f>Sheet2!$L$3</c:f>
              <c:strCache>
                <c:ptCount val="1"/>
                <c:pt idx="0">
                  <c:v>Sum of Riot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Sheet2!$J$4:$J$9</c:f>
              <c:strCache>
                <c:ptCount val="5"/>
                <c:pt idx="0">
                  <c:v>DMP</c:v>
                </c:pt>
                <c:pt idx="1">
                  <c:v>Rajshahi Range</c:v>
                </c:pt>
                <c:pt idx="2">
                  <c:v>Chittagong Range</c:v>
                </c:pt>
                <c:pt idx="3">
                  <c:v>Dhaka Range</c:v>
                </c:pt>
                <c:pt idx="4">
                  <c:v>CMP</c:v>
                </c:pt>
              </c:strCache>
            </c:strRef>
          </c:cat>
          <c:val>
            <c:numRef>
              <c:f>Sheet2!$L$4:$L$9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4-4EA2-B72D-EB769B112D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5560176"/>
        <c:axId val="925565576"/>
      </c:barChart>
      <c:catAx>
        <c:axId val="9255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65576"/>
        <c:crosses val="autoZero"/>
        <c:auto val="1"/>
        <c:lblAlgn val="ctr"/>
        <c:lblOffset val="100"/>
        <c:noMultiLvlLbl val="0"/>
      </c:catAx>
      <c:valAx>
        <c:axId val="92556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[Crime.dashboard.xlsx]Sheet2!PivotTable9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 BURGLARY VS THEFT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469816272965873E-2"/>
          <c:y val="0.14712744240303297"/>
          <c:w val="0.61168197725284335"/>
          <c:h val="0.6076742490522018"/>
        </c:manualLayout>
      </c:layout>
      <c:lineChart>
        <c:grouping val="standard"/>
        <c:varyColors val="0"/>
        <c:ser>
          <c:idx val="0"/>
          <c:order val="0"/>
          <c:tx>
            <c:strRef>
              <c:f>Sheet2!$E$22</c:f>
              <c:strCache>
                <c:ptCount val="1"/>
                <c:pt idx="0">
                  <c:v>Sum of Burglary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Sheet2!$D$23:$D$28</c:f>
              <c:strCache>
                <c:ptCount val="5"/>
                <c:pt idx="0">
                  <c:v>DMP</c:v>
                </c:pt>
                <c:pt idx="1">
                  <c:v>Dhaka Range</c:v>
                </c:pt>
                <c:pt idx="2">
                  <c:v>Chittagong Range</c:v>
                </c:pt>
                <c:pt idx="3">
                  <c:v>Khulna Range</c:v>
                </c:pt>
                <c:pt idx="4">
                  <c:v>Barisal Range</c:v>
                </c:pt>
              </c:strCache>
            </c:strRef>
          </c:cat>
          <c:val>
            <c:numRef>
              <c:f>Sheet2!$E$23:$E$28</c:f>
              <c:numCache>
                <c:formatCode>General</c:formatCode>
                <c:ptCount val="5"/>
                <c:pt idx="0">
                  <c:v>613</c:v>
                </c:pt>
                <c:pt idx="1">
                  <c:v>304</c:v>
                </c:pt>
                <c:pt idx="2">
                  <c:v>325</c:v>
                </c:pt>
                <c:pt idx="3">
                  <c:v>190</c:v>
                </c:pt>
                <c:pt idx="4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D-4CF4-BF08-5E198BACABB0}"/>
            </c:ext>
          </c:extLst>
        </c:ser>
        <c:ser>
          <c:idx val="1"/>
          <c:order val="1"/>
          <c:tx>
            <c:strRef>
              <c:f>Sheet2!$F$22</c:f>
              <c:strCache>
                <c:ptCount val="1"/>
                <c:pt idx="0">
                  <c:v>Sum of Theft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Sheet2!$D$23:$D$28</c:f>
              <c:strCache>
                <c:ptCount val="5"/>
                <c:pt idx="0">
                  <c:v>DMP</c:v>
                </c:pt>
                <c:pt idx="1">
                  <c:v>Dhaka Range</c:v>
                </c:pt>
                <c:pt idx="2">
                  <c:v>Chittagong Range</c:v>
                </c:pt>
                <c:pt idx="3">
                  <c:v>Khulna Range</c:v>
                </c:pt>
                <c:pt idx="4">
                  <c:v>Barisal Range</c:v>
                </c:pt>
              </c:strCache>
            </c:strRef>
          </c:cat>
          <c:val>
            <c:numRef>
              <c:f>Sheet2!$F$23:$F$28</c:f>
              <c:numCache>
                <c:formatCode>General</c:formatCode>
                <c:ptCount val="5"/>
                <c:pt idx="0">
                  <c:v>1290</c:v>
                </c:pt>
                <c:pt idx="1">
                  <c:v>931</c:v>
                </c:pt>
                <c:pt idx="2">
                  <c:v>701</c:v>
                </c:pt>
                <c:pt idx="3">
                  <c:v>403</c:v>
                </c:pt>
                <c:pt idx="4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D-4CF4-BF08-5E198BACAB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4129528"/>
        <c:axId val="804123768"/>
      </c:lineChart>
      <c:catAx>
        <c:axId val="80412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23768"/>
        <c:crosses val="autoZero"/>
        <c:auto val="1"/>
        <c:lblAlgn val="ctr"/>
        <c:lblOffset val="100"/>
        <c:noMultiLvlLbl val="0"/>
      </c:catAx>
      <c:valAx>
        <c:axId val="80412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2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[Crime.dashboard.xlsx]Sheet2!PivotTable10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ARMS ACT VS SMUGGLING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Sheet2!$K$22</c:f>
              <c:strCache>
                <c:ptCount val="1"/>
                <c:pt idx="0">
                  <c:v>Sum of Smuggling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Sheet2!$J$23:$J$28</c:f>
              <c:strCache>
                <c:ptCount val="5"/>
                <c:pt idx="0">
                  <c:v>Khulna Range</c:v>
                </c:pt>
                <c:pt idx="1">
                  <c:v>Rajshahi Range</c:v>
                </c:pt>
                <c:pt idx="2">
                  <c:v>Rangpur Range</c:v>
                </c:pt>
                <c:pt idx="3">
                  <c:v>Sylhet Range</c:v>
                </c:pt>
                <c:pt idx="4">
                  <c:v>RMP</c:v>
                </c:pt>
              </c:strCache>
            </c:strRef>
          </c:cat>
          <c:val>
            <c:numRef>
              <c:f>Sheet2!$K$23:$K$28</c:f>
              <c:numCache>
                <c:formatCode>General</c:formatCode>
                <c:ptCount val="5"/>
                <c:pt idx="0">
                  <c:v>531</c:v>
                </c:pt>
                <c:pt idx="1">
                  <c:v>1538</c:v>
                </c:pt>
                <c:pt idx="2">
                  <c:v>997</c:v>
                </c:pt>
                <c:pt idx="3">
                  <c:v>194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9-4DA2-8F8E-7D9A11DAAC02}"/>
            </c:ext>
          </c:extLst>
        </c:ser>
        <c:ser>
          <c:idx val="1"/>
          <c:order val="1"/>
          <c:tx>
            <c:strRef>
              <c:f>Sheet2!$L$22</c:f>
              <c:strCache>
                <c:ptCount val="1"/>
                <c:pt idx="0">
                  <c:v>Sum of Arms Act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Sheet2!$J$23:$J$28</c:f>
              <c:strCache>
                <c:ptCount val="5"/>
                <c:pt idx="0">
                  <c:v>Khulna Range</c:v>
                </c:pt>
                <c:pt idx="1">
                  <c:v>Rajshahi Range</c:v>
                </c:pt>
                <c:pt idx="2">
                  <c:v>Rangpur Range</c:v>
                </c:pt>
                <c:pt idx="3">
                  <c:v>Sylhet Range</c:v>
                </c:pt>
                <c:pt idx="4">
                  <c:v>RMP</c:v>
                </c:pt>
              </c:strCache>
            </c:strRef>
          </c:cat>
          <c:val>
            <c:numRef>
              <c:f>Sheet2!$L$23:$L$28</c:f>
              <c:numCache>
                <c:formatCode>General</c:formatCode>
                <c:ptCount val="5"/>
                <c:pt idx="0">
                  <c:v>369</c:v>
                </c:pt>
                <c:pt idx="1">
                  <c:v>257</c:v>
                </c:pt>
                <c:pt idx="2">
                  <c:v>72</c:v>
                </c:pt>
                <c:pt idx="3">
                  <c:v>62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9-4DA2-8F8E-7D9A11DAA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00344184"/>
        <c:axId val="800345984"/>
        <c:axId val="0"/>
      </c:bar3DChart>
      <c:catAx>
        <c:axId val="80034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45984"/>
        <c:crosses val="autoZero"/>
        <c:auto val="1"/>
        <c:lblAlgn val="ctr"/>
        <c:lblOffset val="100"/>
        <c:noMultiLvlLbl val="0"/>
      </c:catAx>
      <c:valAx>
        <c:axId val="80034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4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[Crime.dashboard.xlsx]Sheet2!PivotTable3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DACOITY VS  ROBBERY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904551559951659E-2"/>
          <c:y val="0.20605421739155652"/>
          <c:w val="0.69293057884748077"/>
          <c:h val="0.507955132034544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Dacoity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Sylhet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25</c:v>
                </c:pt>
                <c:pt idx="1">
                  <c:v>21</c:v>
                </c:pt>
                <c:pt idx="2">
                  <c:v>26</c:v>
                </c:pt>
                <c:pt idx="3">
                  <c:v>71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B-429D-9F23-8E6AAF21159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Robbery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Sylhet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18</c:v>
                </c:pt>
                <c:pt idx="1">
                  <c:v>53</c:v>
                </c:pt>
                <c:pt idx="2">
                  <c:v>54</c:v>
                </c:pt>
                <c:pt idx="3">
                  <c:v>96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B-429D-9F23-8E6AAF211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2785432"/>
        <c:axId val="572790472"/>
        <c:axId val="0"/>
      </c:bar3DChart>
      <c:catAx>
        <c:axId val="57278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90472"/>
        <c:crosses val="autoZero"/>
        <c:auto val="1"/>
        <c:lblAlgn val="ctr"/>
        <c:lblOffset val="100"/>
        <c:noMultiLvlLbl val="0"/>
      </c:catAx>
      <c:valAx>
        <c:axId val="57279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8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70521583253881"/>
          <c:y val="0.508018808077499"/>
          <c:w val="0.19912838340830033"/>
          <c:h val="0.103266858865285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[Crime.dashboard.xlsx]Sheet2!PivotTable5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MURDER VS KIDNAPPING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3508500273221"/>
          <c:y val="0.20077105494583283"/>
          <c:w val="0.52847953376345103"/>
          <c:h val="0.3550366370919155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Sum of Murder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Sheet2!$F$4:$F$9</c:f>
              <c:strCache>
                <c:ptCount val="5"/>
                <c:pt idx="0">
                  <c:v>Rangpur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Sheet2!$G$4:$G$9</c:f>
              <c:numCache>
                <c:formatCode>General</c:formatCode>
                <c:ptCount val="5"/>
                <c:pt idx="0">
                  <c:v>307</c:v>
                </c:pt>
                <c:pt idx="1">
                  <c:v>408</c:v>
                </c:pt>
                <c:pt idx="2">
                  <c:v>392</c:v>
                </c:pt>
                <c:pt idx="3">
                  <c:v>854</c:v>
                </c:pt>
                <c:pt idx="4">
                  <c:v>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C-4556-AB08-FC3C41419BD5}"/>
            </c:ext>
          </c:extLst>
        </c:ser>
        <c:ser>
          <c:idx val="1"/>
          <c:order val="1"/>
          <c:tx>
            <c:strRef>
              <c:f>Sheet2!$H$3</c:f>
              <c:strCache>
                <c:ptCount val="1"/>
                <c:pt idx="0">
                  <c:v>Sum of Kidnapping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Sheet2!$F$4:$F$9</c:f>
              <c:strCache>
                <c:ptCount val="5"/>
                <c:pt idx="0">
                  <c:v>Rangpur Range</c:v>
                </c:pt>
                <c:pt idx="1">
                  <c:v>Rajshahi Range</c:v>
                </c:pt>
                <c:pt idx="2">
                  <c:v>Khulna Range</c:v>
                </c:pt>
                <c:pt idx="3">
                  <c:v>Dhaka Range</c:v>
                </c:pt>
                <c:pt idx="4">
                  <c:v>Chittagong Range</c:v>
                </c:pt>
              </c:strCache>
            </c:strRef>
          </c:cat>
          <c:val>
            <c:numRef>
              <c:f>Sheet2!$H$4:$H$9</c:f>
              <c:numCache>
                <c:formatCode>General</c:formatCode>
                <c:ptCount val="5"/>
                <c:pt idx="0">
                  <c:v>16</c:v>
                </c:pt>
                <c:pt idx="1">
                  <c:v>46</c:v>
                </c:pt>
                <c:pt idx="2">
                  <c:v>29</c:v>
                </c:pt>
                <c:pt idx="3">
                  <c:v>82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C-4556-AB08-FC3C41419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5671056"/>
        <c:axId val="925673936"/>
        <c:axId val="671706928"/>
      </c:bar3DChart>
      <c:catAx>
        <c:axId val="9256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3936"/>
        <c:crosses val="autoZero"/>
        <c:auto val="1"/>
        <c:lblAlgn val="ctr"/>
        <c:lblOffset val="100"/>
        <c:noMultiLvlLbl val="0"/>
      </c:catAx>
      <c:valAx>
        <c:axId val="9256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1056"/>
        <c:crosses val="autoZero"/>
        <c:crossBetween val="between"/>
      </c:valAx>
      <c:serAx>
        <c:axId val="67170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739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</a:t>
            </a:r>
            <a:r>
              <a:rPr lang="en-US" baseline="0"/>
              <a:t> WISE</a:t>
            </a:r>
            <a:r>
              <a:rPr lang="en-US"/>
              <a:t> SPEEDY TRIAL VS RIOT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056802274715662"/>
          <c:y val="0.11574074074074074"/>
          <c:w val="0.4872390638670166"/>
          <c:h val="0.7768598716827063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Sum of Speedy Trial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Sheet2!$J$4:$J$9</c:f>
              <c:strCache>
                <c:ptCount val="5"/>
                <c:pt idx="0">
                  <c:v>DMP</c:v>
                </c:pt>
                <c:pt idx="1">
                  <c:v>Rajshahi Range</c:v>
                </c:pt>
                <c:pt idx="2">
                  <c:v>Chittagong Range</c:v>
                </c:pt>
                <c:pt idx="3">
                  <c:v>Dhaka Range</c:v>
                </c:pt>
                <c:pt idx="4">
                  <c:v>CMP</c:v>
                </c:pt>
              </c:strCache>
            </c:strRef>
          </c:cat>
          <c:val>
            <c:numRef>
              <c:f>Sheet2!$K$4:$K$9</c:f>
              <c:numCache>
                <c:formatCode>General</c:formatCode>
                <c:ptCount val="5"/>
                <c:pt idx="0">
                  <c:v>216</c:v>
                </c:pt>
                <c:pt idx="1">
                  <c:v>126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F-4B12-8416-B4E95367BEBA}"/>
            </c:ext>
          </c:extLst>
        </c:ser>
        <c:ser>
          <c:idx val="1"/>
          <c:order val="1"/>
          <c:tx>
            <c:strRef>
              <c:f>Sheet2!$L$3</c:f>
              <c:strCache>
                <c:ptCount val="1"/>
                <c:pt idx="0">
                  <c:v>Sum of Riot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Sheet2!$J$4:$J$9</c:f>
              <c:strCache>
                <c:ptCount val="5"/>
                <c:pt idx="0">
                  <c:v>DMP</c:v>
                </c:pt>
                <c:pt idx="1">
                  <c:v>Rajshahi Range</c:v>
                </c:pt>
                <c:pt idx="2">
                  <c:v>Chittagong Range</c:v>
                </c:pt>
                <c:pt idx="3">
                  <c:v>Dhaka Range</c:v>
                </c:pt>
                <c:pt idx="4">
                  <c:v>CMP</c:v>
                </c:pt>
              </c:strCache>
            </c:strRef>
          </c:cat>
          <c:val>
            <c:numRef>
              <c:f>Sheet2!$L$4:$L$9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F-4B12-8416-B4E95367BE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5560176"/>
        <c:axId val="925565576"/>
      </c:barChart>
      <c:catAx>
        <c:axId val="9255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65576"/>
        <c:crosses val="autoZero"/>
        <c:auto val="1"/>
        <c:lblAlgn val="ctr"/>
        <c:lblOffset val="100"/>
        <c:noMultiLvlLbl val="0"/>
      </c:catAx>
      <c:valAx>
        <c:axId val="92556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[Crime.dashboard.xlsx]Sheet2!PivotTable9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 BURGLARY VS THEFT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469816272965873E-2"/>
          <c:y val="0.14712744240303297"/>
          <c:w val="0.61168197725284335"/>
          <c:h val="0.6076742490522018"/>
        </c:manualLayout>
      </c:layout>
      <c:lineChart>
        <c:grouping val="standard"/>
        <c:varyColors val="0"/>
        <c:ser>
          <c:idx val="0"/>
          <c:order val="0"/>
          <c:tx>
            <c:strRef>
              <c:f>Sheet2!$E$22</c:f>
              <c:strCache>
                <c:ptCount val="1"/>
                <c:pt idx="0">
                  <c:v>Sum of Burglary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Sheet2!$D$23:$D$28</c:f>
              <c:strCache>
                <c:ptCount val="5"/>
                <c:pt idx="0">
                  <c:v>DMP</c:v>
                </c:pt>
                <c:pt idx="1">
                  <c:v>Dhaka Range</c:v>
                </c:pt>
                <c:pt idx="2">
                  <c:v>Chittagong Range</c:v>
                </c:pt>
                <c:pt idx="3">
                  <c:v>Khulna Range</c:v>
                </c:pt>
                <c:pt idx="4">
                  <c:v>Barisal Range</c:v>
                </c:pt>
              </c:strCache>
            </c:strRef>
          </c:cat>
          <c:val>
            <c:numRef>
              <c:f>Sheet2!$E$23:$E$28</c:f>
              <c:numCache>
                <c:formatCode>General</c:formatCode>
                <c:ptCount val="5"/>
                <c:pt idx="0">
                  <c:v>613</c:v>
                </c:pt>
                <c:pt idx="1">
                  <c:v>304</c:v>
                </c:pt>
                <c:pt idx="2">
                  <c:v>325</c:v>
                </c:pt>
                <c:pt idx="3">
                  <c:v>190</c:v>
                </c:pt>
                <c:pt idx="4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6-46F9-9266-7F70362F37E9}"/>
            </c:ext>
          </c:extLst>
        </c:ser>
        <c:ser>
          <c:idx val="1"/>
          <c:order val="1"/>
          <c:tx>
            <c:strRef>
              <c:f>Sheet2!$F$22</c:f>
              <c:strCache>
                <c:ptCount val="1"/>
                <c:pt idx="0">
                  <c:v>Sum of Theft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Sheet2!$D$23:$D$28</c:f>
              <c:strCache>
                <c:ptCount val="5"/>
                <c:pt idx="0">
                  <c:v>DMP</c:v>
                </c:pt>
                <c:pt idx="1">
                  <c:v>Dhaka Range</c:v>
                </c:pt>
                <c:pt idx="2">
                  <c:v>Chittagong Range</c:v>
                </c:pt>
                <c:pt idx="3">
                  <c:v>Khulna Range</c:v>
                </c:pt>
                <c:pt idx="4">
                  <c:v>Barisal Range</c:v>
                </c:pt>
              </c:strCache>
            </c:strRef>
          </c:cat>
          <c:val>
            <c:numRef>
              <c:f>Sheet2!$F$23:$F$28</c:f>
              <c:numCache>
                <c:formatCode>General</c:formatCode>
                <c:ptCount val="5"/>
                <c:pt idx="0">
                  <c:v>1290</c:v>
                </c:pt>
                <c:pt idx="1">
                  <c:v>931</c:v>
                </c:pt>
                <c:pt idx="2">
                  <c:v>701</c:v>
                </c:pt>
                <c:pt idx="3">
                  <c:v>403</c:v>
                </c:pt>
                <c:pt idx="4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6-46F9-9266-7F70362F37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4129528"/>
        <c:axId val="804123768"/>
      </c:lineChart>
      <c:catAx>
        <c:axId val="80412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23768"/>
        <c:crosses val="autoZero"/>
        <c:auto val="1"/>
        <c:lblAlgn val="ctr"/>
        <c:lblOffset val="100"/>
        <c:noMultiLvlLbl val="0"/>
      </c:catAx>
      <c:valAx>
        <c:axId val="80412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12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[Crime.dashboard.xlsx]Sheet2!PivotTable10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UNIT NAME WISE ARMS ACT VS SMUGGLING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Sheet2!$K$22</c:f>
              <c:strCache>
                <c:ptCount val="1"/>
                <c:pt idx="0">
                  <c:v>Sum of Smuggling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Sheet2!$J$23:$J$28</c:f>
              <c:strCache>
                <c:ptCount val="5"/>
                <c:pt idx="0">
                  <c:v>Khulna Range</c:v>
                </c:pt>
                <c:pt idx="1">
                  <c:v>Rajshahi Range</c:v>
                </c:pt>
                <c:pt idx="2">
                  <c:v>Rangpur Range</c:v>
                </c:pt>
                <c:pt idx="3">
                  <c:v>Sylhet Range</c:v>
                </c:pt>
                <c:pt idx="4">
                  <c:v>RMP</c:v>
                </c:pt>
              </c:strCache>
            </c:strRef>
          </c:cat>
          <c:val>
            <c:numRef>
              <c:f>Sheet2!$K$23:$K$28</c:f>
              <c:numCache>
                <c:formatCode>General</c:formatCode>
                <c:ptCount val="5"/>
                <c:pt idx="0">
                  <c:v>531</c:v>
                </c:pt>
                <c:pt idx="1">
                  <c:v>1538</c:v>
                </c:pt>
                <c:pt idx="2">
                  <c:v>997</c:v>
                </c:pt>
                <c:pt idx="3">
                  <c:v>194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2-49AF-A1B8-9CA609F815DB}"/>
            </c:ext>
          </c:extLst>
        </c:ser>
        <c:ser>
          <c:idx val="1"/>
          <c:order val="1"/>
          <c:tx>
            <c:strRef>
              <c:f>Sheet2!$L$22</c:f>
              <c:strCache>
                <c:ptCount val="1"/>
                <c:pt idx="0">
                  <c:v>Sum of Arms Act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Sheet2!$J$23:$J$28</c:f>
              <c:strCache>
                <c:ptCount val="5"/>
                <c:pt idx="0">
                  <c:v>Khulna Range</c:v>
                </c:pt>
                <c:pt idx="1">
                  <c:v>Rajshahi Range</c:v>
                </c:pt>
                <c:pt idx="2">
                  <c:v>Rangpur Range</c:v>
                </c:pt>
                <c:pt idx="3">
                  <c:v>Sylhet Range</c:v>
                </c:pt>
                <c:pt idx="4">
                  <c:v>RMP</c:v>
                </c:pt>
              </c:strCache>
            </c:strRef>
          </c:cat>
          <c:val>
            <c:numRef>
              <c:f>Sheet2!$L$23:$L$28</c:f>
              <c:numCache>
                <c:formatCode>General</c:formatCode>
                <c:ptCount val="5"/>
                <c:pt idx="0">
                  <c:v>369</c:v>
                </c:pt>
                <c:pt idx="1">
                  <c:v>257</c:v>
                </c:pt>
                <c:pt idx="2">
                  <c:v>72</c:v>
                </c:pt>
                <c:pt idx="3">
                  <c:v>62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2-49AF-A1B8-9CA609F815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00344184"/>
        <c:axId val="800345984"/>
        <c:axId val="0"/>
      </c:bar3DChart>
      <c:catAx>
        <c:axId val="80034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45984"/>
        <c:crosses val="autoZero"/>
        <c:auto val="1"/>
        <c:lblAlgn val="ctr"/>
        <c:lblOffset val="100"/>
        <c:noMultiLvlLbl val="0"/>
      </c:catAx>
      <c:valAx>
        <c:axId val="80034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4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378199</xdr:colOff>
      <xdr:row>31</xdr:row>
      <xdr:rowOff>76105</xdr:rowOff>
    </xdr:from>
    <xdr:to>
      <xdr:col>6</xdr:col>
      <xdr:colOff>370262</xdr:colOff>
      <xdr:row>50</xdr:row>
      <xdr:rowOff>55759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9F433-C9BB-2C6E-0FC2-3F035E377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757861</xdr:colOff>
      <xdr:row>31</xdr:row>
      <xdr:rowOff>90545</xdr:rowOff>
    </xdr:from>
    <xdr:to>
      <xdr:col>13</xdr:col>
      <xdr:colOff>200305</xdr:colOff>
      <xdr:row>49</xdr:row>
      <xdr:rowOff>168852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697C1D-3FF0-0ABE-7B7C-55C3E1A8D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130691</xdr:colOff>
      <xdr:row>51</xdr:row>
      <xdr:rowOff>119276</xdr:rowOff>
    </xdr:from>
    <xdr:to>
      <xdr:col>6</xdr:col>
      <xdr:colOff>320426</xdr:colOff>
      <xdr:row>69</xdr:row>
      <xdr:rowOff>35462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17C751-38E2-B1AF-A30F-63571BAF3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662585</xdr:colOff>
      <xdr:row>51</xdr:row>
      <xdr:rowOff>163204</xdr:rowOff>
    </xdr:from>
    <xdr:to>
      <xdr:col>12</xdr:col>
      <xdr:colOff>187181</xdr:colOff>
      <xdr:row>68</xdr:row>
      <xdr:rowOff>128578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A16380-7D8A-90C3-94EF-4F31468E2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224254</xdr:colOff>
      <xdr:row>70</xdr:row>
      <xdr:rowOff>15350</xdr:rowOff>
    </xdr:from>
    <xdr:to>
      <xdr:col>6</xdr:col>
      <xdr:colOff>88968</xdr:colOff>
      <xdr:row>85</xdr:row>
      <xdr:rowOff>56913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14ABED-2716-56A9-C1DA-60106A72A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12290</xdr:rowOff>
    </xdr:from>
    <xdr:to>
      <xdr:col>20</xdr:col>
      <xdr:colOff>233516</xdr:colOff>
      <xdr:row>25</xdr:row>
      <xdr:rowOff>12290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3BCE12-113E-4A43-BDD0-69B4071B2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197746</xdr:colOff>
      <xdr:row>7</xdr:row>
      <xdr:rowOff>10630</xdr:rowOff>
    </xdr:from>
    <xdr:to>
      <xdr:col>28</xdr:col>
      <xdr:colOff>580424</xdr:colOff>
      <xdr:row>25</xdr:row>
      <xdr:rowOff>24391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5AFC5C-7794-4401-8AE1-93FE4B9DC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577644</xdr:colOff>
      <xdr:row>7</xdr:row>
      <xdr:rowOff>12290</xdr:rowOff>
    </xdr:from>
    <xdr:to>
      <xdr:col>39</xdr:col>
      <xdr:colOff>12290</xdr:colOff>
      <xdr:row>25</xdr:row>
      <xdr:rowOff>24581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665420-DA24-4903-A181-0EC3A819A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12290</xdr:colOff>
      <xdr:row>25</xdr:row>
      <xdr:rowOff>16309</xdr:rowOff>
    </xdr:from>
    <xdr:to>
      <xdr:col>26</xdr:col>
      <xdr:colOff>42334</xdr:colOff>
      <xdr:row>42</xdr:row>
      <xdr:rowOff>12291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FFA967-B8D5-4F08-9A4F-85F2BD72E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</xdr:colOff>
      <xdr:row>25</xdr:row>
      <xdr:rowOff>12290</xdr:rowOff>
    </xdr:from>
    <xdr:to>
      <xdr:col>39</xdr:col>
      <xdr:colOff>24581</xdr:colOff>
      <xdr:row>42</xdr:row>
      <xdr:rowOff>12291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0C06F2-A5B6-40CE-8411-8797CA930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" refreshedDate="45743.507820949075" createdVersion="8" refreshedVersion="8" minRefreshableVersion="3" recordCount="18" xr:uid="{870AF341-F0C4-4F59-B0CB-8DA326532443}">
  <cacheSource type="worksheet">
    <worksheetSource name="Table1"/>
  </cacheSource>
  <cacheFields count="15">
    <cacheField name="Unit Name" numFmtId="0">
      <sharedItems count="18">
        <s v="DMP"/>
        <s v="CMP"/>
        <s v="KMP"/>
        <s v="RMP"/>
        <s v="BMP"/>
        <s v="SMP"/>
        <s v="Dhaka Range"/>
        <s v="Mymensingh Range"/>
        <s v="Chittagong Range"/>
        <s v="Sylhet Range"/>
        <s v="Khulna Range"/>
        <s v="Barisal Range"/>
        <s v="Rajshahi Range"/>
        <s v="Rangpur Range"/>
        <s v="Railway Range"/>
        <s v="GMP"/>
        <s v="RPMP"/>
        <s v="ATU"/>
      </sharedItems>
    </cacheField>
    <cacheField name="Dacoity" numFmtId="0">
      <sharedItems containsSemiMixedTypes="0" containsString="0" containsNumber="1" containsInteger="1" minValue="0" maxValue="71"/>
    </cacheField>
    <cacheField name="Robbery" numFmtId="0">
      <sharedItems containsSemiMixedTypes="0" containsString="0" containsNumber="1" containsInteger="1" minValue="0" maxValue="96"/>
    </cacheField>
    <cacheField name="Murder" numFmtId="0">
      <sharedItems containsSemiMixedTypes="0" containsString="0" containsNumber="1" containsInteger="1" minValue="0" maxValue="854"/>
    </cacheField>
    <cacheField name="Speedy Trial" numFmtId="0">
      <sharedItems containsSemiMixedTypes="0" containsString="0" containsNumber="1" containsInteger="1" minValue="0" maxValue="216"/>
    </cacheField>
    <cacheField name="Riot" numFmtId="0">
      <sharedItems containsSemiMixedTypes="0" containsString="0" containsNumber="1" containsInteger="1" minValue="0" maxValue="17"/>
    </cacheField>
    <cacheField name="Woman &amp; Child Repression" numFmtId="0">
      <sharedItems containsSemiMixedTypes="0" containsString="0" containsNumber="1" containsInteger="1" minValue="0" maxValue="3014"/>
    </cacheField>
    <cacheField name="Kidnapping" numFmtId="0">
      <sharedItems containsSemiMixedTypes="0" containsString="0" containsNumber="1" containsInteger="1" minValue="0" maxValue="93"/>
    </cacheField>
    <cacheField name="Police Assault" numFmtId="0">
      <sharedItems containsSemiMixedTypes="0" containsString="0" containsNumber="1" containsInteger="1" minValue="0" maxValue="236"/>
    </cacheField>
    <cacheField name="Burglary" numFmtId="0">
      <sharedItems containsSemiMixedTypes="0" containsString="0" containsNumber="1" containsInteger="1" minValue="0" maxValue="613"/>
    </cacheField>
    <cacheField name="Theft" numFmtId="0">
      <sharedItems containsSemiMixedTypes="0" containsString="0" containsNumber="1" containsInteger="1" minValue="0" maxValue="1290"/>
    </cacheField>
    <cacheField name="Arms Act" numFmtId="0">
      <sharedItems containsSemiMixedTypes="0" containsString="0" containsNumber="1" containsInteger="1" minValue="0" maxValue="723"/>
    </cacheField>
    <cacheField name="Explosive" numFmtId="0">
      <sharedItems containsSemiMixedTypes="0" containsString="0" containsNumber="1" containsInteger="1" minValue="0" maxValue="354"/>
    </cacheField>
    <cacheField name="Narcotics" numFmtId="0">
      <sharedItems containsSemiMixedTypes="0" containsString="0" containsNumber="1" containsInteger="1" minValue="0" maxValue="22682"/>
    </cacheField>
    <cacheField name="Smuggling" numFmtId="0">
      <sharedItems containsSemiMixedTypes="0" containsString="0" containsNumber="1" containsInteger="1" minValue="0" maxValue="15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17"/>
    <n v="83"/>
    <n v="216"/>
    <n v="216"/>
    <n v="17"/>
    <n v="1782"/>
    <n v="75"/>
    <n v="236"/>
    <n v="613"/>
    <n v="1290"/>
    <n v="155"/>
    <n v="354"/>
    <n v="16215"/>
    <n v="173"/>
  </r>
  <r>
    <x v="1"/>
    <n v="6"/>
    <n v="65"/>
    <n v="75"/>
    <n v="100"/>
    <n v="0"/>
    <n v="405"/>
    <n v="11"/>
    <n v="34"/>
    <n v="74"/>
    <n v="208"/>
    <n v="365"/>
    <n v="136"/>
    <n v="4747"/>
    <n v="59"/>
  </r>
  <r>
    <x v="2"/>
    <n v="2"/>
    <n v="6"/>
    <n v="19"/>
    <n v="18"/>
    <n v="0"/>
    <n v="145"/>
    <n v="3"/>
    <n v="3"/>
    <n v="32"/>
    <n v="63"/>
    <n v="24"/>
    <n v="1"/>
    <n v="1858"/>
    <n v="45"/>
  </r>
  <r>
    <x v="3"/>
    <n v="0"/>
    <n v="27"/>
    <n v="22"/>
    <n v="14"/>
    <n v="3"/>
    <n v="177"/>
    <n v="17"/>
    <n v="12"/>
    <n v="45"/>
    <n v="64"/>
    <n v="35"/>
    <n v="19"/>
    <n v="2847"/>
    <n v="368"/>
  </r>
  <r>
    <x v="4"/>
    <n v="3"/>
    <n v="8"/>
    <n v="17"/>
    <n v="6"/>
    <n v="0"/>
    <n v="101"/>
    <n v="6"/>
    <n v="6"/>
    <n v="44"/>
    <n v="42"/>
    <n v="16"/>
    <n v="1"/>
    <n v="1088"/>
    <n v="0"/>
  </r>
  <r>
    <x v="5"/>
    <n v="8"/>
    <n v="12"/>
    <n v="33"/>
    <n v="44"/>
    <n v="0"/>
    <n v="159"/>
    <n v="1"/>
    <n v="39"/>
    <n v="32"/>
    <n v="85"/>
    <n v="16"/>
    <n v="2"/>
    <n v="520"/>
    <n v="34"/>
  </r>
  <r>
    <x v="6"/>
    <n v="71"/>
    <n v="96"/>
    <n v="854"/>
    <n v="105"/>
    <n v="0"/>
    <n v="3014"/>
    <n v="82"/>
    <n v="122"/>
    <n v="304"/>
    <n v="931"/>
    <n v="292"/>
    <n v="65"/>
    <n v="22682"/>
    <n v="155"/>
  </r>
  <r>
    <x v="7"/>
    <n v="5"/>
    <n v="10"/>
    <n v="265"/>
    <n v="54"/>
    <n v="1"/>
    <n v="1056"/>
    <n v="20"/>
    <n v="23"/>
    <n v="66"/>
    <n v="301"/>
    <n v="53"/>
    <n v="139"/>
    <n v="6329"/>
    <n v="100"/>
  </r>
  <r>
    <x v="8"/>
    <n v="44"/>
    <n v="84"/>
    <n v="728"/>
    <n v="110"/>
    <n v="1"/>
    <n v="1915"/>
    <n v="93"/>
    <n v="151"/>
    <n v="325"/>
    <n v="701"/>
    <n v="723"/>
    <n v="122"/>
    <n v="13338"/>
    <n v="145"/>
  </r>
  <r>
    <x v="9"/>
    <n v="25"/>
    <n v="18"/>
    <n v="272"/>
    <n v="19"/>
    <n v="1"/>
    <n v="885"/>
    <n v="13"/>
    <n v="94"/>
    <n v="84"/>
    <n v="390"/>
    <n v="62"/>
    <n v="19"/>
    <n v="2438"/>
    <n v="194"/>
  </r>
  <r>
    <x v="10"/>
    <n v="26"/>
    <n v="54"/>
    <n v="392"/>
    <n v="27"/>
    <n v="3"/>
    <n v="1530"/>
    <n v="29"/>
    <n v="14"/>
    <n v="190"/>
    <n v="403"/>
    <n v="369"/>
    <n v="207"/>
    <n v="10076"/>
    <n v="531"/>
  </r>
  <r>
    <x v="11"/>
    <n v="20"/>
    <n v="24"/>
    <n v="166"/>
    <n v="55"/>
    <n v="0"/>
    <n v="1321"/>
    <n v="20"/>
    <n v="20"/>
    <n v="132"/>
    <n v="205"/>
    <n v="54"/>
    <n v="56"/>
    <n v="4384"/>
    <n v="2"/>
  </r>
  <r>
    <x v="12"/>
    <n v="21"/>
    <n v="53"/>
    <n v="408"/>
    <n v="126"/>
    <n v="0"/>
    <n v="1786"/>
    <n v="46"/>
    <n v="27"/>
    <n v="95"/>
    <n v="392"/>
    <n v="257"/>
    <n v="116"/>
    <n v="13764"/>
    <n v="1538"/>
  </r>
  <r>
    <x v="13"/>
    <n v="13"/>
    <n v="13"/>
    <n v="307"/>
    <n v="19"/>
    <n v="0"/>
    <n v="1908"/>
    <n v="16"/>
    <n v="18"/>
    <n v="91"/>
    <n v="372"/>
    <n v="72"/>
    <n v="57"/>
    <n v="10921"/>
    <n v="997"/>
  </r>
  <r>
    <x v="14"/>
    <n v="0"/>
    <n v="4"/>
    <n v="27"/>
    <n v="3"/>
    <n v="0"/>
    <n v="4"/>
    <n v="1"/>
    <n v="5"/>
    <n v="0"/>
    <n v="65"/>
    <n v="2"/>
    <n v="0"/>
    <n v="611"/>
    <n v="159"/>
  </r>
  <r>
    <x v="15"/>
    <n v="0"/>
    <n v="4"/>
    <n v="26"/>
    <n v="4"/>
    <n v="0"/>
    <n v="46"/>
    <n v="3"/>
    <n v="5"/>
    <n v="7"/>
    <n v="32"/>
    <n v="18"/>
    <n v="15"/>
    <n v="528"/>
    <n v="1"/>
  </r>
  <r>
    <x v="16"/>
    <n v="1"/>
    <n v="1"/>
    <n v="3"/>
    <n v="2"/>
    <n v="0"/>
    <n v="19"/>
    <n v="8"/>
    <n v="2"/>
    <n v="3"/>
    <n v="17"/>
    <n v="2"/>
    <n v="1"/>
    <n v="203"/>
    <n v="0"/>
  </r>
  <r>
    <x v="17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B98BC-AA82-46B4-B12C-2B5B4753C355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J22:L28" firstHeaderRow="0" firstDataRow="1" firstDataCol="1"/>
  <pivotFields count="15">
    <pivotField axis="axisRow" showAll="0" measureFilter="1" sortType="descending">
      <items count="19">
        <item x="9"/>
        <item x="5"/>
        <item x="16"/>
        <item x="3"/>
        <item x="13"/>
        <item x="12"/>
        <item x="14"/>
        <item x="7"/>
        <item x="2"/>
        <item x="10"/>
        <item x="15"/>
        <item x="0"/>
        <item x="6"/>
        <item x="1"/>
        <item x="8"/>
        <item x="4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6">
    <i>
      <x v="9"/>
    </i>
    <i>
      <x v="5"/>
    </i>
    <i>
      <x v="4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muggling" fld="14" baseField="0" baseItem="0"/>
    <dataField name="Sum of Arms Act" fld="11" baseField="0" baseItem="0"/>
  </dataFields>
  <chartFormats count="6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FFFCA-FC50-4221-834A-AB6B98A42552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D22:F28" firstHeaderRow="0" firstDataRow="1" firstDataCol="1"/>
  <pivotFields count="15">
    <pivotField axis="axisRow" showAll="0" measureFilter="1" sortType="descending">
      <items count="19">
        <item x="9"/>
        <item x="5"/>
        <item x="16"/>
        <item x="3"/>
        <item x="13"/>
        <item x="12"/>
        <item x="14"/>
        <item x="7"/>
        <item x="2"/>
        <item x="10"/>
        <item x="15"/>
        <item x="0"/>
        <item x="6"/>
        <item x="1"/>
        <item x="8"/>
        <item x="4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 v="11"/>
    </i>
    <i>
      <x v="12"/>
    </i>
    <i>
      <x v="14"/>
    </i>
    <i>
      <x v="9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rglary" fld="9" baseField="0" baseItem="0"/>
    <dataField name="Sum of Theft" fld="10" baseField="0" baseItem="0"/>
  </dataFields>
  <chartFormats count="4"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79D83-1ECD-4598-9069-6878C03BEA4A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J3:L9" firstHeaderRow="0" firstDataRow="1" firstDataCol="1"/>
  <pivotFields count="15">
    <pivotField axis="axisRow" showAll="0" measureFilter="1" sortType="descending">
      <items count="19">
        <item x="9"/>
        <item x="5"/>
        <item x="16"/>
        <item x="3"/>
        <item x="13"/>
        <item x="12"/>
        <item x="14"/>
        <item x="7"/>
        <item x="2"/>
        <item x="10"/>
        <item x="15"/>
        <item x="0"/>
        <item x="6"/>
        <item x="1"/>
        <item x="8"/>
        <item x="4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1"/>
    </i>
    <i>
      <x v="5"/>
    </i>
    <i>
      <x v="14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edy Trial" fld="4" baseField="0" baseItem="0"/>
    <dataField name="Sum of Riot" fld="5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E64BE-AEEC-40FA-AC8E-7CA4BBABA26F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F3:H9" firstHeaderRow="0" firstDataRow="1" firstDataCol="1"/>
  <pivotFields count="15">
    <pivotField axis="axisRow" showAll="0" measureFilter="1" sortType="descending">
      <items count="19">
        <item x="9"/>
        <item x="5"/>
        <item x="16"/>
        <item x="3"/>
        <item x="13"/>
        <item x="12"/>
        <item x="14"/>
        <item x="7"/>
        <item x="2"/>
        <item x="10"/>
        <item x="15"/>
        <item x="0"/>
        <item x="6"/>
        <item x="1"/>
        <item x="8"/>
        <item x="4"/>
        <item x="11"/>
        <item x="17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4"/>
    </i>
    <i>
      <x v="5"/>
    </i>
    <i>
      <x v="9"/>
    </i>
    <i>
      <x v="12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urder" fld="3" baseField="0" baseItem="0"/>
    <dataField name="Sum of Kidnapping" fld="7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11440-4E30-4D2F-8C65-8FC793601EA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C9" firstHeaderRow="0" firstDataRow="1" firstDataCol="1"/>
  <pivotFields count="15">
    <pivotField axis="axisRow" showAll="0" measureFilter="1" sortType="descending">
      <items count="19">
        <item x="9"/>
        <item x="5"/>
        <item x="16"/>
        <item x="3"/>
        <item x="13"/>
        <item x="12"/>
        <item x="14"/>
        <item x="7"/>
        <item x="2"/>
        <item x="10"/>
        <item x="15"/>
        <item x="0"/>
        <item x="6"/>
        <item x="1"/>
        <item x="8"/>
        <item x="4"/>
        <item x="11"/>
        <item x="17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5"/>
    </i>
    <i>
      <x v="9"/>
    </i>
    <i>
      <x v="12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coity" fld="1" baseField="0" baseItem="0"/>
    <dataField name="Sum of Robbery" fld="2" baseField="0" baseItem="0"/>
  </dataFields>
  <chartFormats count="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9">
  <tableColumns count="15">
    <tableColumn id="1" xr3:uid="{00000000-0010-0000-0000-000001000000}" name="Unit Name"/>
    <tableColumn id="2" xr3:uid="{00000000-0010-0000-0000-000002000000}" name="Dacoity"/>
    <tableColumn id="3" xr3:uid="{00000000-0010-0000-0000-000003000000}" name="Robbery"/>
    <tableColumn id="4" xr3:uid="{00000000-0010-0000-0000-000004000000}" name="Murder"/>
    <tableColumn id="5" xr3:uid="{00000000-0010-0000-0000-000005000000}" name="Speedy Trial"/>
    <tableColumn id="6" xr3:uid="{00000000-0010-0000-0000-000006000000}" name="Riot"/>
    <tableColumn id="7" xr3:uid="{00000000-0010-0000-0000-000007000000}" name="Woman &amp; Child Repression"/>
    <tableColumn id="8" xr3:uid="{00000000-0010-0000-0000-000008000000}" name="Kidnapping"/>
    <tableColumn id="9" xr3:uid="{00000000-0010-0000-0000-000009000000}" name="Police Assault"/>
    <tableColumn id="10" xr3:uid="{00000000-0010-0000-0000-00000A000000}" name="Burglary"/>
    <tableColumn id="11" xr3:uid="{00000000-0010-0000-0000-00000B000000}" name="Theft"/>
    <tableColumn id="12" xr3:uid="{00000000-0010-0000-0000-00000C000000}" name="Arms Act"/>
    <tableColumn id="13" xr3:uid="{00000000-0010-0000-0000-00000D000000}" name="Explosive"/>
    <tableColumn id="14" xr3:uid="{00000000-0010-0000-0000-00000E000000}" name="Narcotics"/>
    <tableColumn id="15" xr3:uid="{00000000-0010-0000-0000-00000F000000}" name="Smuggling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6F1E-49C6-4012-91D0-0367CACBCA8F}">
  <dimension ref="A3:L28"/>
  <sheetViews>
    <sheetView zoomScale="51" zoomScaleNormal="54" workbookViewId="0">
      <selection activeCell="A30" sqref="A30"/>
    </sheetView>
  </sheetViews>
  <sheetFormatPr defaultRowHeight="14.4" x14ac:dyDescent="0.3"/>
  <cols>
    <col min="1" max="1" width="15.33203125" bestFit="1" customWidth="1"/>
    <col min="2" max="2" width="13.44140625" bestFit="1" customWidth="1"/>
    <col min="3" max="3" width="14" bestFit="1" customWidth="1"/>
    <col min="4" max="4" width="15.44140625" bestFit="1" customWidth="1"/>
    <col min="5" max="5" width="14.109375" bestFit="1" customWidth="1"/>
    <col min="6" max="8" width="11.44140625" bestFit="1" customWidth="1"/>
    <col min="10" max="10" width="13.33203125" bestFit="1" customWidth="1"/>
    <col min="11" max="11" width="15.77734375" bestFit="1" customWidth="1"/>
    <col min="12" max="12" width="14.88671875" bestFit="1" customWidth="1"/>
  </cols>
  <sheetData>
    <row r="3" spans="1:12" x14ac:dyDescent="0.3">
      <c r="A3" s="14" t="s">
        <v>33</v>
      </c>
      <c r="B3" s="13" t="s">
        <v>35</v>
      </c>
      <c r="C3" s="18" t="s">
        <v>36</v>
      </c>
      <c r="F3" s="14" t="s">
        <v>33</v>
      </c>
      <c r="G3" s="13" t="s">
        <v>37</v>
      </c>
      <c r="H3" s="18" t="s">
        <v>39</v>
      </c>
      <c r="J3" s="14" t="s">
        <v>33</v>
      </c>
      <c r="K3" s="13" t="s">
        <v>38</v>
      </c>
      <c r="L3" s="18" t="s">
        <v>40</v>
      </c>
    </row>
    <row r="4" spans="1:12" x14ac:dyDescent="0.3">
      <c r="A4" s="15" t="s">
        <v>24</v>
      </c>
      <c r="B4" s="19">
        <v>25</v>
      </c>
      <c r="C4" s="20">
        <v>18</v>
      </c>
      <c r="F4" s="15" t="s">
        <v>28</v>
      </c>
      <c r="G4" s="19">
        <v>307</v>
      </c>
      <c r="H4" s="20">
        <v>16</v>
      </c>
      <c r="J4" s="15" t="s">
        <v>15</v>
      </c>
      <c r="K4" s="19">
        <v>216</v>
      </c>
      <c r="L4" s="20">
        <v>17</v>
      </c>
    </row>
    <row r="5" spans="1:12" x14ac:dyDescent="0.3">
      <c r="A5" s="16" t="s">
        <v>27</v>
      </c>
      <c r="B5" s="21">
        <v>21</v>
      </c>
      <c r="C5" s="22">
        <v>53</v>
      </c>
      <c r="F5" s="16" t="s">
        <v>27</v>
      </c>
      <c r="G5" s="21">
        <v>408</v>
      </c>
      <c r="H5" s="22">
        <v>46</v>
      </c>
      <c r="J5" s="16" t="s">
        <v>27</v>
      </c>
      <c r="K5" s="21">
        <v>126</v>
      </c>
      <c r="L5" s="22">
        <v>0</v>
      </c>
    </row>
    <row r="6" spans="1:12" x14ac:dyDescent="0.3">
      <c r="A6" s="16" t="s">
        <v>25</v>
      </c>
      <c r="B6" s="21">
        <v>26</v>
      </c>
      <c r="C6" s="22">
        <v>54</v>
      </c>
      <c r="F6" s="16" t="s">
        <v>25</v>
      </c>
      <c r="G6" s="21">
        <v>392</v>
      </c>
      <c r="H6" s="22">
        <v>29</v>
      </c>
      <c r="J6" s="16" t="s">
        <v>23</v>
      </c>
      <c r="K6" s="21">
        <v>110</v>
      </c>
      <c r="L6" s="22">
        <v>1</v>
      </c>
    </row>
    <row r="7" spans="1:12" x14ac:dyDescent="0.3">
      <c r="A7" s="16" t="s">
        <v>21</v>
      </c>
      <c r="B7" s="21">
        <v>71</v>
      </c>
      <c r="C7" s="22">
        <v>96</v>
      </c>
      <c r="F7" s="16" t="s">
        <v>21</v>
      </c>
      <c r="G7" s="21">
        <v>854</v>
      </c>
      <c r="H7" s="22">
        <v>82</v>
      </c>
      <c r="J7" s="16" t="s">
        <v>21</v>
      </c>
      <c r="K7" s="21">
        <v>105</v>
      </c>
      <c r="L7" s="22">
        <v>0</v>
      </c>
    </row>
    <row r="8" spans="1:12" x14ac:dyDescent="0.3">
      <c r="A8" s="16" t="s">
        <v>23</v>
      </c>
      <c r="B8" s="21">
        <v>44</v>
      </c>
      <c r="C8" s="22">
        <v>84</v>
      </c>
      <c r="F8" s="16" t="s">
        <v>23</v>
      </c>
      <c r="G8" s="21">
        <v>728</v>
      </c>
      <c r="H8" s="22">
        <v>93</v>
      </c>
      <c r="J8" s="16" t="s">
        <v>16</v>
      </c>
      <c r="K8" s="21">
        <v>100</v>
      </c>
      <c r="L8" s="22">
        <v>0</v>
      </c>
    </row>
    <row r="9" spans="1:12" x14ac:dyDescent="0.3">
      <c r="A9" s="17" t="s">
        <v>34</v>
      </c>
      <c r="B9" s="23">
        <v>187</v>
      </c>
      <c r="C9" s="24">
        <v>305</v>
      </c>
      <c r="F9" s="17" t="s">
        <v>34</v>
      </c>
      <c r="G9" s="23">
        <v>2689</v>
      </c>
      <c r="H9" s="24">
        <v>266</v>
      </c>
      <c r="J9" s="17" t="s">
        <v>34</v>
      </c>
      <c r="K9" s="23">
        <v>657</v>
      </c>
      <c r="L9" s="24">
        <v>18</v>
      </c>
    </row>
    <row r="22" spans="4:12" x14ac:dyDescent="0.3">
      <c r="D22" s="14" t="s">
        <v>33</v>
      </c>
      <c r="E22" s="13" t="s">
        <v>41</v>
      </c>
      <c r="F22" s="18" t="s">
        <v>42</v>
      </c>
      <c r="J22" s="14" t="s">
        <v>33</v>
      </c>
      <c r="K22" s="13" t="s">
        <v>43</v>
      </c>
      <c r="L22" s="18" t="s">
        <v>44</v>
      </c>
    </row>
    <row r="23" spans="4:12" x14ac:dyDescent="0.3">
      <c r="D23" s="15" t="s">
        <v>15</v>
      </c>
      <c r="E23" s="19">
        <v>613</v>
      </c>
      <c r="F23" s="20">
        <v>1290</v>
      </c>
      <c r="J23" s="15" t="s">
        <v>25</v>
      </c>
      <c r="K23" s="19">
        <v>531</v>
      </c>
      <c r="L23" s="20">
        <v>369</v>
      </c>
    </row>
    <row r="24" spans="4:12" x14ac:dyDescent="0.3">
      <c r="D24" s="16" t="s">
        <v>21</v>
      </c>
      <c r="E24" s="21">
        <v>304</v>
      </c>
      <c r="F24" s="22">
        <v>931</v>
      </c>
      <c r="J24" s="16" t="s">
        <v>27</v>
      </c>
      <c r="K24" s="21">
        <v>1538</v>
      </c>
      <c r="L24" s="22">
        <v>257</v>
      </c>
    </row>
    <row r="25" spans="4:12" x14ac:dyDescent="0.3">
      <c r="D25" s="16" t="s">
        <v>23</v>
      </c>
      <c r="E25" s="21">
        <v>325</v>
      </c>
      <c r="F25" s="22">
        <v>701</v>
      </c>
      <c r="J25" s="16" t="s">
        <v>28</v>
      </c>
      <c r="K25" s="21">
        <v>997</v>
      </c>
      <c r="L25" s="22">
        <v>72</v>
      </c>
    </row>
    <row r="26" spans="4:12" x14ac:dyDescent="0.3">
      <c r="D26" s="16" t="s">
        <v>25</v>
      </c>
      <c r="E26" s="21">
        <v>190</v>
      </c>
      <c r="F26" s="22">
        <v>403</v>
      </c>
      <c r="J26" s="16" t="s">
        <v>24</v>
      </c>
      <c r="K26" s="21">
        <v>194</v>
      </c>
      <c r="L26" s="22">
        <v>62</v>
      </c>
    </row>
    <row r="27" spans="4:12" x14ac:dyDescent="0.3">
      <c r="D27" s="16" t="s">
        <v>26</v>
      </c>
      <c r="E27" s="21">
        <v>132</v>
      </c>
      <c r="F27" s="22">
        <v>205</v>
      </c>
      <c r="J27" s="16" t="s">
        <v>18</v>
      </c>
      <c r="K27" s="21">
        <v>368</v>
      </c>
      <c r="L27" s="22">
        <v>35</v>
      </c>
    </row>
    <row r="28" spans="4:12" x14ac:dyDescent="0.3">
      <c r="D28" s="17" t="s">
        <v>34</v>
      </c>
      <c r="E28" s="23">
        <v>1564</v>
      </c>
      <c r="F28" s="24">
        <v>3530</v>
      </c>
      <c r="J28" s="17" t="s">
        <v>34</v>
      </c>
      <c r="K28" s="23">
        <v>3628</v>
      </c>
      <c r="L28" s="24">
        <v>795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03FC-2711-4C26-8672-AC1155F92E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zoomScale="85" zoomScaleNormal="85" workbookViewId="0">
      <pane ySplit="1" topLeftCell="A2" activePane="bottomLeft" state="frozen"/>
      <selection pane="bottomLeft" sqref="A1:O19"/>
    </sheetView>
  </sheetViews>
  <sheetFormatPr defaultColWidth="14.44140625" defaultRowHeight="15" customHeight="1" x14ac:dyDescent="0.3"/>
  <cols>
    <col min="1" max="1" width="19.33203125" customWidth="1"/>
    <col min="2" max="2" width="16.44140625" customWidth="1"/>
    <col min="3" max="3" width="17.109375" customWidth="1"/>
    <col min="4" max="4" width="16.44140625" customWidth="1"/>
    <col min="5" max="5" width="20.33203125" customWidth="1"/>
    <col min="6" max="6" width="4.6640625" customWidth="1"/>
    <col min="7" max="7" width="33.109375" customWidth="1"/>
    <col min="8" max="8" width="19.5546875" customWidth="1"/>
    <col min="9" max="9" width="21.5546875" customWidth="1"/>
    <col min="10" max="10" width="17.109375" customWidth="1"/>
    <col min="11" max="11" width="6.88671875" customWidth="1"/>
    <col min="12" max="12" width="17.6640625" customWidth="1"/>
    <col min="13" max="14" width="17.88671875" customWidth="1"/>
    <col min="15" max="15" width="18.6640625" customWidth="1"/>
    <col min="16" max="26" width="8.6640625" customWidth="1"/>
  </cols>
  <sheetData>
    <row r="1" spans="1:15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14.4" x14ac:dyDescent="0.3">
      <c r="A2" s="4" t="s">
        <v>15</v>
      </c>
      <c r="B2" s="5">
        <v>17</v>
      </c>
      <c r="C2" s="5">
        <v>83</v>
      </c>
      <c r="D2" s="5">
        <v>216</v>
      </c>
      <c r="E2" s="5">
        <v>216</v>
      </c>
      <c r="F2" s="5">
        <v>17</v>
      </c>
      <c r="G2" s="5">
        <v>1782</v>
      </c>
      <c r="H2" s="5">
        <v>75</v>
      </c>
      <c r="I2" s="5">
        <v>236</v>
      </c>
      <c r="J2" s="5">
        <v>613</v>
      </c>
      <c r="K2" s="5">
        <v>1290</v>
      </c>
      <c r="L2" s="5">
        <v>155</v>
      </c>
      <c r="M2" s="5">
        <v>354</v>
      </c>
      <c r="N2" s="5">
        <v>16215</v>
      </c>
      <c r="O2" s="6">
        <v>173</v>
      </c>
    </row>
    <row r="3" spans="1:15" ht="14.4" x14ac:dyDescent="0.3">
      <c r="A3" s="7" t="s">
        <v>16</v>
      </c>
      <c r="B3" s="8">
        <v>6</v>
      </c>
      <c r="C3" s="8">
        <v>65</v>
      </c>
      <c r="D3" s="8">
        <v>75</v>
      </c>
      <c r="E3" s="8">
        <v>100</v>
      </c>
      <c r="F3" s="8">
        <v>0</v>
      </c>
      <c r="G3" s="8">
        <v>405</v>
      </c>
      <c r="H3" s="8">
        <v>11</v>
      </c>
      <c r="I3" s="8">
        <v>34</v>
      </c>
      <c r="J3" s="8">
        <v>74</v>
      </c>
      <c r="K3" s="8">
        <v>208</v>
      </c>
      <c r="L3" s="8">
        <v>365</v>
      </c>
      <c r="M3" s="8">
        <v>136</v>
      </c>
      <c r="N3" s="8">
        <v>4747</v>
      </c>
      <c r="O3" s="9">
        <v>59</v>
      </c>
    </row>
    <row r="4" spans="1:15" ht="14.4" x14ac:dyDescent="0.3">
      <c r="A4" s="4" t="s">
        <v>17</v>
      </c>
      <c r="B4" s="5">
        <v>2</v>
      </c>
      <c r="C4" s="5">
        <v>6</v>
      </c>
      <c r="D4" s="5">
        <v>19</v>
      </c>
      <c r="E4" s="5">
        <v>18</v>
      </c>
      <c r="F4" s="5">
        <v>0</v>
      </c>
      <c r="G4" s="5">
        <v>145</v>
      </c>
      <c r="H4" s="5">
        <v>3</v>
      </c>
      <c r="I4" s="5">
        <v>3</v>
      </c>
      <c r="J4" s="5">
        <v>32</v>
      </c>
      <c r="K4" s="5">
        <v>63</v>
      </c>
      <c r="L4" s="5">
        <v>24</v>
      </c>
      <c r="M4" s="5">
        <v>1</v>
      </c>
      <c r="N4" s="5">
        <v>1858</v>
      </c>
      <c r="O4" s="6">
        <v>45</v>
      </c>
    </row>
    <row r="5" spans="1:15" ht="14.4" x14ac:dyDescent="0.3">
      <c r="A5" s="7" t="s">
        <v>18</v>
      </c>
      <c r="B5" s="8">
        <v>0</v>
      </c>
      <c r="C5" s="8">
        <v>27</v>
      </c>
      <c r="D5" s="8">
        <v>22</v>
      </c>
      <c r="E5" s="8">
        <v>14</v>
      </c>
      <c r="F5" s="8">
        <v>3</v>
      </c>
      <c r="G5" s="8">
        <v>177</v>
      </c>
      <c r="H5" s="8">
        <v>17</v>
      </c>
      <c r="I5" s="8">
        <v>12</v>
      </c>
      <c r="J5" s="8">
        <v>45</v>
      </c>
      <c r="K5" s="8">
        <v>64</v>
      </c>
      <c r="L5" s="8">
        <v>35</v>
      </c>
      <c r="M5" s="8">
        <v>19</v>
      </c>
      <c r="N5" s="8">
        <v>2847</v>
      </c>
      <c r="O5" s="9">
        <v>368</v>
      </c>
    </row>
    <row r="6" spans="1:15" ht="14.4" x14ac:dyDescent="0.3">
      <c r="A6" s="4" t="s">
        <v>19</v>
      </c>
      <c r="B6" s="5">
        <v>3</v>
      </c>
      <c r="C6" s="5">
        <v>8</v>
      </c>
      <c r="D6" s="5">
        <v>17</v>
      </c>
      <c r="E6" s="5">
        <v>6</v>
      </c>
      <c r="F6" s="5">
        <v>0</v>
      </c>
      <c r="G6" s="5">
        <v>101</v>
      </c>
      <c r="H6" s="5">
        <v>6</v>
      </c>
      <c r="I6" s="5">
        <v>6</v>
      </c>
      <c r="J6" s="5">
        <v>44</v>
      </c>
      <c r="K6" s="5">
        <v>42</v>
      </c>
      <c r="L6" s="5">
        <v>16</v>
      </c>
      <c r="M6" s="5">
        <v>1</v>
      </c>
      <c r="N6" s="5">
        <v>1088</v>
      </c>
      <c r="O6" s="6">
        <v>0</v>
      </c>
    </row>
    <row r="7" spans="1:15" ht="14.4" x14ac:dyDescent="0.3">
      <c r="A7" s="7" t="s">
        <v>20</v>
      </c>
      <c r="B7" s="8">
        <v>8</v>
      </c>
      <c r="C7" s="8">
        <v>12</v>
      </c>
      <c r="D7" s="8">
        <v>33</v>
      </c>
      <c r="E7" s="8">
        <v>44</v>
      </c>
      <c r="F7" s="8">
        <v>0</v>
      </c>
      <c r="G7" s="8">
        <v>159</v>
      </c>
      <c r="H7" s="8">
        <v>1</v>
      </c>
      <c r="I7" s="8">
        <v>39</v>
      </c>
      <c r="J7" s="8">
        <v>32</v>
      </c>
      <c r="K7" s="8">
        <v>85</v>
      </c>
      <c r="L7" s="8">
        <v>16</v>
      </c>
      <c r="M7" s="8">
        <v>2</v>
      </c>
      <c r="N7" s="8">
        <v>520</v>
      </c>
      <c r="O7" s="9">
        <v>34</v>
      </c>
    </row>
    <row r="8" spans="1:15" ht="14.4" x14ac:dyDescent="0.3">
      <c r="A8" s="4" t="s">
        <v>21</v>
      </c>
      <c r="B8" s="5">
        <v>71</v>
      </c>
      <c r="C8" s="5">
        <v>96</v>
      </c>
      <c r="D8" s="5">
        <v>854</v>
      </c>
      <c r="E8" s="5">
        <v>105</v>
      </c>
      <c r="F8" s="5">
        <v>0</v>
      </c>
      <c r="G8" s="5">
        <v>3014</v>
      </c>
      <c r="H8" s="5">
        <v>82</v>
      </c>
      <c r="I8" s="5">
        <v>122</v>
      </c>
      <c r="J8" s="5">
        <v>304</v>
      </c>
      <c r="K8" s="5">
        <v>931</v>
      </c>
      <c r="L8" s="5">
        <v>292</v>
      </c>
      <c r="M8" s="5">
        <v>65</v>
      </c>
      <c r="N8" s="5">
        <v>22682</v>
      </c>
      <c r="O8" s="6">
        <v>155</v>
      </c>
    </row>
    <row r="9" spans="1:15" ht="14.4" x14ac:dyDescent="0.3">
      <c r="A9" s="7" t="s">
        <v>22</v>
      </c>
      <c r="B9" s="8">
        <v>5</v>
      </c>
      <c r="C9" s="8">
        <v>10</v>
      </c>
      <c r="D9" s="8">
        <v>265</v>
      </c>
      <c r="E9" s="8">
        <v>54</v>
      </c>
      <c r="F9" s="8">
        <v>1</v>
      </c>
      <c r="G9" s="8">
        <v>1056</v>
      </c>
      <c r="H9" s="8">
        <v>20</v>
      </c>
      <c r="I9" s="8">
        <v>23</v>
      </c>
      <c r="J9" s="8">
        <v>66</v>
      </c>
      <c r="K9" s="8">
        <v>301</v>
      </c>
      <c r="L9" s="8">
        <v>53</v>
      </c>
      <c r="M9" s="8">
        <v>139</v>
      </c>
      <c r="N9" s="8">
        <v>6329</v>
      </c>
      <c r="O9" s="9">
        <v>100</v>
      </c>
    </row>
    <row r="10" spans="1:15" ht="14.4" x14ac:dyDescent="0.3">
      <c r="A10" s="4" t="s">
        <v>23</v>
      </c>
      <c r="B10" s="5">
        <v>44</v>
      </c>
      <c r="C10" s="5">
        <v>84</v>
      </c>
      <c r="D10" s="5">
        <v>728</v>
      </c>
      <c r="E10" s="5">
        <v>110</v>
      </c>
      <c r="F10" s="5">
        <v>1</v>
      </c>
      <c r="G10" s="5">
        <v>1915</v>
      </c>
      <c r="H10" s="5">
        <v>93</v>
      </c>
      <c r="I10" s="5">
        <v>151</v>
      </c>
      <c r="J10" s="5">
        <v>325</v>
      </c>
      <c r="K10" s="5">
        <v>701</v>
      </c>
      <c r="L10" s="5">
        <v>723</v>
      </c>
      <c r="M10" s="5">
        <v>122</v>
      </c>
      <c r="N10" s="5">
        <v>13338</v>
      </c>
      <c r="O10" s="6">
        <v>145</v>
      </c>
    </row>
    <row r="11" spans="1:15" ht="14.4" x14ac:dyDescent="0.3">
      <c r="A11" s="7" t="s">
        <v>24</v>
      </c>
      <c r="B11" s="8">
        <v>25</v>
      </c>
      <c r="C11" s="8">
        <v>18</v>
      </c>
      <c r="D11" s="8">
        <v>272</v>
      </c>
      <c r="E11" s="8">
        <v>19</v>
      </c>
      <c r="F11" s="8">
        <v>1</v>
      </c>
      <c r="G11" s="8">
        <v>885</v>
      </c>
      <c r="H11" s="8">
        <v>13</v>
      </c>
      <c r="I11" s="8">
        <v>94</v>
      </c>
      <c r="J11" s="8">
        <v>84</v>
      </c>
      <c r="K11" s="8">
        <v>390</v>
      </c>
      <c r="L11" s="8">
        <v>62</v>
      </c>
      <c r="M11" s="8">
        <v>19</v>
      </c>
      <c r="N11" s="8">
        <v>2438</v>
      </c>
      <c r="O11" s="9">
        <v>194</v>
      </c>
    </row>
    <row r="12" spans="1:15" ht="14.4" x14ac:dyDescent="0.3">
      <c r="A12" s="4" t="s">
        <v>25</v>
      </c>
      <c r="B12" s="5">
        <v>26</v>
      </c>
      <c r="C12" s="5">
        <v>54</v>
      </c>
      <c r="D12" s="5">
        <v>392</v>
      </c>
      <c r="E12" s="5">
        <v>27</v>
      </c>
      <c r="F12" s="5">
        <v>3</v>
      </c>
      <c r="G12" s="5">
        <v>1530</v>
      </c>
      <c r="H12" s="5">
        <v>29</v>
      </c>
      <c r="I12" s="5">
        <v>14</v>
      </c>
      <c r="J12" s="5">
        <v>190</v>
      </c>
      <c r="K12" s="5">
        <v>403</v>
      </c>
      <c r="L12" s="5">
        <v>369</v>
      </c>
      <c r="M12" s="5">
        <v>207</v>
      </c>
      <c r="N12" s="5">
        <v>10076</v>
      </c>
      <c r="O12" s="6">
        <v>531</v>
      </c>
    </row>
    <row r="13" spans="1:15" ht="14.4" x14ac:dyDescent="0.3">
      <c r="A13" s="7" t="s">
        <v>26</v>
      </c>
      <c r="B13" s="8">
        <v>20</v>
      </c>
      <c r="C13" s="8">
        <v>24</v>
      </c>
      <c r="D13" s="8">
        <v>166</v>
      </c>
      <c r="E13" s="8">
        <v>55</v>
      </c>
      <c r="F13" s="8">
        <v>0</v>
      </c>
      <c r="G13" s="8">
        <v>1321</v>
      </c>
      <c r="H13" s="8">
        <v>20</v>
      </c>
      <c r="I13" s="8">
        <v>20</v>
      </c>
      <c r="J13" s="8">
        <v>132</v>
      </c>
      <c r="K13" s="8">
        <v>205</v>
      </c>
      <c r="L13" s="8">
        <v>54</v>
      </c>
      <c r="M13" s="8">
        <v>56</v>
      </c>
      <c r="N13" s="8">
        <v>4384</v>
      </c>
      <c r="O13" s="9">
        <v>2</v>
      </c>
    </row>
    <row r="14" spans="1:15" ht="14.4" x14ac:dyDescent="0.3">
      <c r="A14" s="4" t="s">
        <v>27</v>
      </c>
      <c r="B14" s="5">
        <v>21</v>
      </c>
      <c r="C14" s="5">
        <v>53</v>
      </c>
      <c r="D14" s="5">
        <v>408</v>
      </c>
      <c r="E14" s="5">
        <v>126</v>
      </c>
      <c r="F14" s="5">
        <v>0</v>
      </c>
      <c r="G14" s="5">
        <v>1786</v>
      </c>
      <c r="H14" s="5">
        <v>46</v>
      </c>
      <c r="I14" s="5">
        <v>27</v>
      </c>
      <c r="J14" s="5">
        <v>95</v>
      </c>
      <c r="K14" s="5">
        <v>392</v>
      </c>
      <c r="L14" s="5">
        <v>257</v>
      </c>
      <c r="M14" s="5">
        <v>116</v>
      </c>
      <c r="N14" s="5">
        <v>13764</v>
      </c>
      <c r="O14" s="6">
        <v>1538</v>
      </c>
    </row>
    <row r="15" spans="1:15" ht="14.4" x14ac:dyDescent="0.3">
      <c r="A15" s="7" t="s">
        <v>28</v>
      </c>
      <c r="B15" s="8">
        <v>13</v>
      </c>
      <c r="C15" s="8">
        <v>13</v>
      </c>
      <c r="D15" s="8">
        <v>307</v>
      </c>
      <c r="E15" s="8">
        <v>19</v>
      </c>
      <c r="F15" s="8">
        <v>0</v>
      </c>
      <c r="G15" s="8">
        <v>1908</v>
      </c>
      <c r="H15" s="8">
        <v>16</v>
      </c>
      <c r="I15" s="8">
        <v>18</v>
      </c>
      <c r="J15" s="8">
        <v>91</v>
      </c>
      <c r="K15" s="8">
        <v>372</v>
      </c>
      <c r="L15" s="8">
        <v>72</v>
      </c>
      <c r="M15" s="8">
        <v>57</v>
      </c>
      <c r="N15" s="8">
        <v>10921</v>
      </c>
      <c r="O15" s="9">
        <v>997</v>
      </c>
    </row>
    <row r="16" spans="1:15" ht="14.4" x14ac:dyDescent="0.3">
      <c r="A16" s="4" t="s">
        <v>29</v>
      </c>
      <c r="B16" s="5">
        <v>0</v>
      </c>
      <c r="C16" s="5">
        <v>4</v>
      </c>
      <c r="D16" s="5">
        <v>27</v>
      </c>
      <c r="E16" s="5">
        <v>3</v>
      </c>
      <c r="F16" s="5">
        <v>0</v>
      </c>
      <c r="G16" s="5">
        <v>4</v>
      </c>
      <c r="H16" s="5">
        <v>1</v>
      </c>
      <c r="I16" s="5">
        <v>5</v>
      </c>
      <c r="J16" s="5">
        <v>0</v>
      </c>
      <c r="K16" s="5">
        <v>65</v>
      </c>
      <c r="L16" s="5">
        <v>2</v>
      </c>
      <c r="M16" s="5">
        <v>0</v>
      </c>
      <c r="N16" s="5">
        <v>611</v>
      </c>
      <c r="O16" s="6">
        <v>159</v>
      </c>
    </row>
    <row r="17" spans="1:15" ht="14.4" x14ac:dyDescent="0.3">
      <c r="A17" s="7" t="s">
        <v>30</v>
      </c>
      <c r="B17" s="8">
        <v>0</v>
      </c>
      <c r="C17" s="8">
        <v>4</v>
      </c>
      <c r="D17" s="8">
        <v>26</v>
      </c>
      <c r="E17" s="8">
        <v>4</v>
      </c>
      <c r="F17" s="8">
        <v>0</v>
      </c>
      <c r="G17" s="8">
        <v>46</v>
      </c>
      <c r="H17" s="8">
        <v>3</v>
      </c>
      <c r="I17" s="8">
        <v>5</v>
      </c>
      <c r="J17" s="8">
        <v>7</v>
      </c>
      <c r="K17" s="8">
        <v>32</v>
      </c>
      <c r="L17" s="8">
        <v>18</v>
      </c>
      <c r="M17" s="8">
        <v>15</v>
      </c>
      <c r="N17" s="8">
        <v>528</v>
      </c>
      <c r="O17" s="9">
        <v>1</v>
      </c>
    </row>
    <row r="18" spans="1:15" ht="14.4" x14ac:dyDescent="0.3">
      <c r="A18" s="4" t="s">
        <v>31</v>
      </c>
      <c r="B18" s="5">
        <v>1</v>
      </c>
      <c r="C18" s="5">
        <v>1</v>
      </c>
      <c r="D18" s="5">
        <v>3</v>
      </c>
      <c r="E18" s="5">
        <v>2</v>
      </c>
      <c r="F18" s="5">
        <v>0</v>
      </c>
      <c r="G18" s="5">
        <v>19</v>
      </c>
      <c r="H18" s="5">
        <v>8</v>
      </c>
      <c r="I18" s="5">
        <v>2</v>
      </c>
      <c r="J18" s="5">
        <v>3</v>
      </c>
      <c r="K18" s="5">
        <v>17</v>
      </c>
      <c r="L18" s="5">
        <v>2</v>
      </c>
      <c r="M18" s="5">
        <v>1</v>
      </c>
      <c r="N18" s="5">
        <v>203</v>
      </c>
      <c r="O18" s="6">
        <v>0</v>
      </c>
    </row>
    <row r="19" spans="1:15" ht="14.4" x14ac:dyDescent="0.3">
      <c r="A19" s="10" t="s">
        <v>32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2">
        <v>0</v>
      </c>
    </row>
    <row r="21" spans="1:15" ht="15.75" customHeight="1" x14ac:dyDescent="0.3"/>
    <row r="22" spans="1:15" ht="15.75" customHeight="1" x14ac:dyDescent="0.3"/>
    <row r="23" spans="1:15" ht="15.75" customHeight="1" x14ac:dyDescent="0.3"/>
    <row r="24" spans="1:15" ht="15.75" customHeight="1" x14ac:dyDescent="0.3"/>
    <row r="25" spans="1:15" ht="15.75" customHeight="1" x14ac:dyDescent="0.3"/>
    <row r="26" spans="1:15" ht="15.75" customHeight="1" x14ac:dyDescent="0.3"/>
    <row r="27" spans="1:15" ht="15.75" customHeight="1" x14ac:dyDescent="0.3"/>
    <row r="28" spans="1:15" ht="15.75" customHeight="1" x14ac:dyDescent="0.3"/>
    <row r="29" spans="1:15" ht="15.75" customHeight="1" x14ac:dyDescent="0.3"/>
    <row r="30" spans="1:15" ht="15.75" customHeight="1" x14ac:dyDescent="0.3"/>
    <row r="31" spans="1:15" ht="15.75" customHeight="1" x14ac:dyDescent="0.3"/>
    <row r="32" spans="1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B2:O1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3D14-ADC6-400A-8A62-2BE3218B616E}">
  <dimension ref="M4:AM7"/>
  <sheetViews>
    <sheetView tabSelected="1" topLeftCell="L1" zoomScale="75" workbookViewId="0">
      <selection activeCell="AT1" sqref="AT1"/>
    </sheetView>
  </sheetViews>
  <sheetFormatPr defaultRowHeight="14.4" x14ac:dyDescent="0.3"/>
  <sheetData>
    <row r="4" spans="13:39" x14ac:dyDescent="0.3">
      <c r="M4" s="26" t="s">
        <v>45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</row>
    <row r="5" spans="13:39" x14ac:dyDescent="0.3"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</row>
    <row r="6" spans="13:39" x14ac:dyDescent="0.3"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spans="13:39" x14ac:dyDescent="0.3"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</sheetData>
  <mergeCells count="1">
    <mergeCell ref="M4:AM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kh rami</cp:lastModifiedBy>
  <dcterms:created xsi:type="dcterms:W3CDTF">2025-03-27T07:54:13Z</dcterms:created>
  <dcterms:modified xsi:type="dcterms:W3CDTF">2025-03-27T07:55:19Z</dcterms:modified>
</cp:coreProperties>
</file>